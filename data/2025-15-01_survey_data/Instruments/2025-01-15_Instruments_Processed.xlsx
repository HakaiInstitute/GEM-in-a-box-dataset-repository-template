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rie.weekes/Documents/Hakai/GEM-in-a-Box/Instruments/GEM-in-a-Box Final Data/2025-01-15/"/>
    </mc:Choice>
  </mc:AlternateContent>
  <xr:revisionPtr revIDLastSave="0" documentId="13_ncr:1_{2937DCC0-B058-4544-9580-42D33D97B83D}" xr6:coauthVersionLast="47" xr6:coauthVersionMax="47" xr10:uidLastSave="{00000000-0000-0000-0000-000000000000}"/>
  <bookViews>
    <workbookView xWindow="0" yWindow="520" windowWidth="21740" windowHeight="16420" xr2:uid="{7E90493F-8528-924B-A0D3-4AAA5D8073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H24" i="1"/>
  <c r="H25" i="1"/>
  <c r="H26" i="1"/>
  <c r="H12" i="1"/>
  <c r="H13" i="1"/>
  <c r="H14" i="1"/>
  <c r="H15" i="1"/>
  <c r="H16" i="1"/>
  <c r="H17" i="1"/>
  <c r="H18" i="1"/>
  <c r="H19" i="1"/>
  <c r="H20" i="1"/>
  <c r="H21" i="1"/>
  <c r="H9" i="1"/>
  <c r="H10" i="1"/>
  <c r="H11" i="1"/>
  <c r="H8" i="1"/>
</calcChain>
</file>

<file path=xl/sharedStrings.xml><?xml version="1.0" encoding="utf-8"?>
<sst xmlns="http://schemas.openxmlformats.org/spreadsheetml/2006/main" count="25" uniqueCount="23">
  <si>
    <t>Survey:</t>
  </si>
  <si>
    <t>Sampling Event</t>
  </si>
  <si>
    <t>Instrument Time (UTC)</t>
  </si>
  <si>
    <t>Temp (deg C)</t>
  </si>
  <si>
    <t>Cond (mS/cm)</t>
  </si>
  <si>
    <t>Air Press Time (UTC)</t>
  </si>
  <si>
    <t>Air Pressure (mH2O)</t>
  </si>
  <si>
    <t>DO (mg/L uncorr)</t>
  </si>
  <si>
    <t>Hydrostatic Pressure (dbar)</t>
  </si>
  <si>
    <t>Absolute Pressure (mH2O)</t>
  </si>
  <si>
    <t>CTD - Diver Raw</t>
  </si>
  <si>
    <t>miniDOT SN:</t>
  </si>
  <si>
    <t>miniDOT Raw Data</t>
  </si>
  <si>
    <t>CTD-Diver Calculation</t>
  </si>
  <si>
    <t>CTD-Diver SN:</t>
  </si>
  <si>
    <t>Survey Date (YYYY-MM-DD):</t>
  </si>
  <si>
    <t>Q Value</t>
  </si>
  <si>
    <t>Hyacinthe Bay</t>
  </si>
  <si>
    <t>01 - X6477</t>
  </si>
  <si>
    <t>7450 - 619573</t>
  </si>
  <si>
    <t>2_13</t>
  </si>
  <si>
    <t>2_14</t>
  </si>
  <si>
    <t>2_15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</si>
</sst>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b/>
      <sz val="13"/>
      <color theme="1"/>
      <name val="Cambria"/>
      <family val="1"/>
    </font>
    <font>
      <sz val="13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20" fontId="2" fillId="0" borderId="6" xfId="0" applyNumberFormat="1" applyFont="1" applyBorder="1"/>
    <xf numFmtId="164" fontId="2" fillId="0" borderId="0" xfId="0" applyNumberFormat="1" applyFont="1"/>
    <xf numFmtId="20" fontId="2" fillId="0" borderId="0" xfId="0" applyNumberFormat="1" applyFont="1"/>
    <xf numFmtId="164" fontId="2" fillId="0" borderId="10" xfId="0" applyNumberFormat="1" applyFont="1" applyBorder="1"/>
    <xf numFmtId="0" fontId="2" fillId="0" borderId="7" xfId="0" applyFont="1" applyBorder="1"/>
    <xf numFmtId="0" fontId="1" fillId="0" borderId="2" xfId="0" applyFont="1" applyBorder="1" applyAlignment="1">
      <alignment horizontal="center" vertical="center" wrapText="1"/>
    </xf>
    <xf numFmtId="2" fontId="2" fillId="0" borderId="6" xfId="0" applyNumberFormat="1" applyFont="1" applyBorder="1"/>
    <xf numFmtId="0" fontId="2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14" fontId="2" fillId="2" borderId="11" xfId="0" applyNumberFormat="1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97A1-FC7D-1F4E-AE33-1BE9995FE7E4}">
  <dimension ref="A2:O26"/>
  <sheetViews>
    <sheetView tabSelected="1" zoomScale="90" zoomScaleNormal="90" workbookViewId="0">
      <selection activeCell="I11" sqref="I11"/>
    </sheetView>
  </sheetViews>
  <sheetFormatPr baseColWidth="10" defaultRowHeight="17" x14ac:dyDescent="0.2"/>
  <cols>
    <col min="1" max="1" width="14.83203125" style="1" customWidth="1"/>
    <col min="2" max="2" width="17.5" style="1" customWidth="1"/>
    <col min="3" max="3" width="17.83203125" style="1" customWidth="1"/>
    <col min="4" max="4" width="13.83203125" style="1" customWidth="1"/>
    <col min="5" max="5" width="14.5" style="1" customWidth="1"/>
    <col min="6" max="6" width="14.1640625" style="1" customWidth="1"/>
    <col min="7" max="7" width="16.33203125" style="1" customWidth="1"/>
    <col min="8" max="8" width="15.6640625" style="1" customWidth="1"/>
    <col min="9" max="9" width="12.6640625" style="1" customWidth="1"/>
    <col min="10" max="10" width="13.1640625" style="1" customWidth="1"/>
    <col min="11" max="11" width="12.83203125" style="1" customWidth="1"/>
    <col min="12" max="12" width="9" style="1" customWidth="1"/>
    <col min="13" max="16384" width="10.83203125" style="1"/>
  </cols>
  <sheetData>
    <row r="2" spans="1:15" x14ac:dyDescent="0.2">
      <c r="A2" s="22" t="s">
        <v>15</v>
      </c>
      <c r="B2" s="23"/>
      <c r="C2" s="26">
        <v>45672</v>
      </c>
      <c r="D2" s="21"/>
      <c r="H2" s="18" t="s">
        <v>14</v>
      </c>
      <c r="I2" s="19"/>
      <c r="J2" s="20" t="s">
        <v>18</v>
      </c>
      <c r="K2" s="21"/>
    </row>
    <row r="3" spans="1:15" x14ac:dyDescent="0.2">
      <c r="A3" s="24" t="s">
        <v>0</v>
      </c>
      <c r="B3" s="25"/>
      <c r="C3" s="20" t="s">
        <v>17</v>
      </c>
      <c r="D3" s="21"/>
      <c r="H3" s="18" t="s">
        <v>11</v>
      </c>
      <c r="I3" s="19"/>
      <c r="J3" s="20" t="s">
        <v>19</v>
      </c>
      <c r="K3" s="21"/>
    </row>
    <row r="5" spans="1:15" ht="18" thickBot="1" x14ac:dyDescent="0.25"/>
    <row r="6" spans="1:15" ht="37" thickBot="1" x14ac:dyDescent="0.25">
      <c r="A6" s="2"/>
      <c r="B6" s="16" t="s">
        <v>10</v>
      </c>
      <c r="C6" s="17"/>
      <c r="D6" s="17"/>
      <c r="E6" s="17"/>
      <c r="F6" s="17"/>
      <c r="G6" s="17"/>
      <c r="H6" s="13" t="s">
        <v>13</v>
      </c>
      <c r="I6" s="27" t="s">
        <v>12</v>
      </c>
      <c r="J6" s="28"/>
      <c r="K6" s="28"/>
      <c r="L6" s="29"/>
      <c r="M6" s="15"/>
      <c r="N6" s="15"/>
    </row>
    <row r="7" spans="1:15" ht="55" thickBot="1" x14ac:dyDescent="0.25">
      <c r="A7" s="4" t="s">
        <v>1</v>
      </c>
      <c r="B7" s="4" t="s">
        <v>2</v>
      </c>
      <c r="C7" s="5" t="s">
        <v>9</v>
      </c>
      <c r="D7" s="5" t="s">
        <v>3</v>
      </c>
      <c r="E7" s="5" t="s">
        <v>4</v>
      </c>
      <c r="F7" s="5" t="s">
        <v>5</v>
      </c>
      <c r="G7" s="5" t="s">
        <v>6</v>
      </c>
      <c r="H7" s="6" t="s">
        <v>8</v>
      </c>
      <c r="I7" s="4" t="s">
        <v>2</v>
      </c>
      <c r="J7" s="5" t="s">
        <v>3</v>
      </c>
      <c r="K7" s="5" t="s">
        <v>7</v>
      </c>
      <c r="L7" s="7" t="s">
        <v>16</v>
      </c>
      <c r="M7" s="3"/>
      <c r="N7" s="3"/>
      <c r="O7" s="3"/>
    </row>
    <row r="8" spans="1:15" ht="18" thickTop="1" x14ac:dyDescent="0.2">
      <c r="A8" s="14" t="s">
        <v>20</v>
      </c>
      <c r="B8" s="8">
        <v>0.72569444444444453</v>
      </c>
      <c r="C8" s="1">
        <v>10.9537</v>
      </c>
      <c r="D8" s="9">
        <v>7</v>
      </c>
      <c r="E8" s="1">
        <v>25.292000000000002</v>
      </c>
      <c r="F8" s="10">
        <v>0.70833333333333337</v>
      </c>
      <c r="G8" s="1">
        <v>10.539099999999999</v>
      </c>
      <c r="H8" s="11">
        <f>(C8-G8)*0.980665</f>
        <v>0.40658370900000007</v>
      </c>
      <c r="I8" s="8">
        <v>0.72569444444444453</v>
      </c>
      <c r="J8" s="1">
        <v>7.234</v>
      </c>
      <c r="K8" s="1">
        <v>10.766999999999999</v>
      </c>
      <c r="L8" s="12">
        <v>0.97499999999999998</v>
      </c>
    </row>
    <row r="9" spans="1:15" x14ac:dyDescent="0.2">
      <c r="A9" s="14" t="s">
        <v>21</v>
      </c>
      <c r="B9" s="8">
        <v>0.73819444444444438</v>
      </c>
      <c r="C9" s="1">
        <v>11.0169</v>
      </c>
      <c r="D9" s="9">
        <v>6.9370000000000003</v>
      </c>
      <c r="E9" s="1">
        <v>28.032</v>
      </c>
      <c r="F9" s="10">
        <v>0.70833333333333337</v>
      </c>
      <c r="G9" s="1">
        <v>10.539099999999999</v>
      </c>
      <c r="H9" s="11">
        <f t="shared" ref="H9:H11" si="0">(C9-G9)*0.980665</f>
        <v>0.4685617370000002</v>
      </c>
      <c r="I9" s="8">
        <v>0.73819444444444438</v>
      </c>
      <c r="J9" s="1">
        <v>6.9459999999999997</v>
      </c>
      <c r="K9" s="1">
        <v>10.877000000000001</v>
      </c>
      <c r="L9" s="12">
        <v>0.97599999999999998</v>
      </c>
    </row>
    <row r="10" spans="1:15" x14ac:dyDescent="0.2">
      <c r="A10" s="14" t="s">
        <v>22</v>
      </c>
      <c r="B10" s="8">
        <v>0.74444444444444446</v>
      </c>
      <c r="C10" s="1">
        <v>16.3127</v>
      </c>
      <c r="D10" s="9">
        <v>7.9829999999999997</v>
      </c>
      <c r="E10" s="1">
        <v>30.56</v>
      </c>
      <c r="F10" s="10">
        <v>0.70833333333333337</v>
      </c>
      <c r="G10" s="1">
        <v>10.539099999999999</v>
      </c>
      <c r="H10" s="11">
        <f t="shared" si="0"/>
        <v>5.6619674440000001</v>
      </c>
      <c r="I10" s="8">
        <v>0.74444444444444446</v>
      </c>
      <c r="J10" s="1">
        <v>7.9390000000000001</v>
      </c>
      <c r="K10" s="1">
        <v>9.9380000000000006</v>
      </c>
      <c r="L10" s="12">
        <v>0.97799999999999998</v>
      </c>
    </row>
    <row r="11" spans="1:15" x14ac:dyDescent="0.2">
      <c r="A11" s="14"/>
      <c r="B11" s="8"/>
      <c r="D11" s="9"/>
      <c r="F11" s="10"/>
      <c r="H11" s="11">
        <f t="shared" si="0"/>
        <v>0</v>
      </c>
      <c r="I11" s="8"/>
      <c r="L11" s="12"/>
    </row>
    <row r="12" spans="1:15" x14ac:dyDescent="0.2">
      <c r="A12" s="14"/>
      <c r="B12" s="8"/>
      <c r="D12" s="9"/>
      <c r="F12" s="10"/>
      <c r="H12" s="11">
        <f t="shared" ref="H12:H21" si="1">(C12-G12)*0.980665</f>
        <v>0</v>
      </c>
      <c r="I12" s="8"/>
      <c r="L12" s="12"/>
    </row>
    <row r="13" spans="1:15" x14ac:dyDescent="0.2">
      <c r="A13" s="14"/>
      <c r="B13" s="8"/>
      <c r="D13" s="9"/>
      <c r="F13" s="10"/>
      <c r="H13" s="11">
        <f t="shared" si="1"/>
        <v>0</v>
      </c>
      <c r="I13" s="8"/>
      <c r="L13" s="12"/>
    </row>
    <row r="14" spans="1:15" x14ac:dyDescent="0.2">
      <c r="A14" s="14"/>
      <c r="B14" s="8"/>
      <c r="D14" s="9"/>
      <c r="F14" s="10"/>
      <c r="H14" s="11">
        <f t="shared" si="1"/>
        <v>0</v>
      </c>
      <c r="I14" s="8"/>
      <c r="L14" s="12"/>
    </row>
    <row r="15" spans="1:15" x14ac:dyDescent="0.2">
      <c r="A15" s="14"/>
      <c r="B15" s="8"/>
      <c r="D15" s="9"/>
      <c r="F15" s="10"/>
      <c r="H15" s="11">
        <f t="shared" si="1"/>
        <v>0</v>
      </c>
      <c r="I15" s="8"/>
      <c r="L15" s="12"/>
    </row>
    <row r="16" spans="1:15" x14ac:dyDescent="0.2">
      <c r="A16" s="14"/>
      <c r="B16" s="8"/>
      <c r="D16" s="9"/>
      <c r="F16" s="10"/>
      <c r="H16" s="11">
        <f t="shared" si="1"/>
        <v>0</v>
      </c>
      <c r="I16" s="8"/>
      <c r="L16" s="12"/>
    </row>
    <row r="17" spans="1:12" x14ac:dyDescent="0.2">
      <c r="A17" s="14"/>
      <c r="B17" s="8"/>
      <c r="D17" s="9"/>
      <c r="F17" s="10"/>
      <c r="H17" s="11">
        <f t="shared" si="1"/>
        <v>0</v>
      </c>
      <c r="I17" s="8"/>
      <c r="L17" s="12"/>
    </row>
    <row r="18" spans="1:12" x14ac:dyDescent="0.2">
      <c r="A18" s="14"/>
      <c r="B18" s="8"/>
      <c r="D18" s="9"/>
      <c r="F18" s="10"/>
      <c r="H18" s="11">
        <f t="shared" si="1"/>
        <v>0</v>
      </c>
      <c r="I18" s="8"/>
      <c r="L18" s="12"/>
    </row>
    <row r="19" spans="1:12" x14ac:dyDescent="0.2">
      <c r="A19" s="14"/>
      <c r="B19" s="8"/>
      <c r="D19" s="9"/>
      <c r="F19" s="10"/>
      <c r="H19" s="11">
        <f t="shared" si="1"/>
        <v>0</v>
      </c>
      <c r="I19" s="8"/>
      <c r="L19" s="12"/>
    </row>
    <row r="20" spans="1:12" x14ac:dyDescent="0.2">
      <c r="A20" s="14"/>
      <c r="B20" s="8"/>
      <c r="D20" s="9"/>
      <c r="F20" s="10"/>
      <c r="H20" s="11">
        <f t="shared" si="1"/>
        <v>0</v>
      </c>
      <c r="I20" s="8"/>
      <c r="L20" s="12"/>
    </row>
    <row r="21" spans="1:12" x14ac:dyDescent="0.2">
      <c r="A21" s="14"/>
      <c r="B21" s="8"/>
      <c r="D21" s="9"/>
      <c r="F21" s="10"/>
      <c r="H21" s="11">
        <f t="shared" si="1"/>
        <v>0</v>
      </c>
      <c r="I21" s="8"/>
      <c r="L21" s="12"/>
    </row>
    <row r="22" spans="1:12" x14ac:dyDescent="0.2">
      <c r="A22" s="14"/>
      <c r="B22" s="8"/>
      <c r="D22" s="9"/>
      <c r="F22" s="10"/>
      <c r="H22" s="11">
        <f t="shared" ref="H22:H26" si="2">(C22-G22)*0.980665</f>
        <v>0</v>
      </c>
      <c r="I22" s="8"/>
      <c r="L22" s="12"/>
    </row>
    <row r="23" spans="1:12" x14ac:dyDescent="0.2">
      <c r="A23" s="14"/>
      <c r="B23" s="8"/>
      <c r="D23" s="9"/>
      <c r="F23" s="10"/>
      <c r="H23" s="11">
        <f t="shared" si="2"/>
        <v>0</v>
      </c>
      <c r="I23" s="8"/>
      <c r="L23" s="12"/>
    </row>
    <row r="24" spans="1:12" x14ac:dyDescent="0.2">
      <c r="A24" s="14"/>
      <c r="B24" s="8"/>
      <c r="D24" s="9"/>
      <c r="F24" s="10"/>
      <c r="H24" s="11">
        <f t="shared" si="2"/>
        <v>0</v>
      </c>
      <c r="I24" s="8"/>
      <c r="L24" s="12"/>
    </row>
    <row r="25" spans="1:12" x14ac:dyDescent="0.2">
      <c r="A25" s="14"/>
      <c r="B25" s="8"/>
      <c r="D25" s="9"/>
      <c r="F25" s="10"/>
      <c r="H25" s="11">
        <f t="shared" si="2"/>
        <v>0</v>
      </c>
      <c r="I25" s="8"/>
      <c r="L25" s="12"/>
    </row>
    <row r="26" spans="1:12" x14ac:dyDescent="0.2">
      <c r="A26" s="14"/>
      <c r="B26" s="8"/>
      <c r="D26" s="9"/>
      <c r="F26" s="10"/>
      <c r="H26" s="11">
        <f t="shared" si="2"/>
        <v>0</v>
      </c>
      <c r="I26" s="8"/>
      <c r="L26" s="12"/>
    </row>
  </sheetData>
  <mergeCells count="10">
    <mergeCell ref="B6:G6"/>
    <mergeCell ref="H2:I2"/>
    <mergeCell ref="H3:I3"/>
    <mergeCell ref="J2:K2"/>
    <mergeCell ref="J3:K3"/>
    <mergeCell ref="A2:B2"/>
    <mergeCell ref="A3:B3"/>
    <mergeCell ref="C2:D2"/>
    <mergeCell ref="C3:D3"/>
    <mergeCell ref="I6:L6"/>
  </mergeCells>
  <pageMargins left="0.7" right="0.7" top="0.75" bottom="0.75" header="0.3" footer="0.3"/>
  <pageSetup orientation="landscape" horizontalDpi="0" verticalDpi="0"/>
  <headerFooter>
    <oddHeader>&amp;C&amp;"-,Bold"Instrument Data Sheet Processed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Sandwith</dc:creator>
  <cp:lastModifiedBy>Carrie Weekes</cp:lastModifiedBy>
  <dcterms:created xsi:type="dcterms:W3CDTF">2024-09-16T21:26:48Z</dcterms:created>
  <dcterms:modified xsi:type="dcterms:W3CDTF">2025-01-16T22:18:11Z</dcterms:modified>
</cp:coreProperties>
</file>